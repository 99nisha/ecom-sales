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487e9e2882dcdf9/Desktop/Data Analyst - Assessment HUTCH/"/>
    </mc:Choice>
  </mc:AlternateContent>
  <xr:revisionPtr revIDLastSave="3" documentId="13_ncr:1_{97F43D97-FB97-46A1-B0EE-CF1A3A56A7D6}" xr6:coauthVersionLast="47" xr6:coauthVersionMax="47" xr10:uidLastSave="{52DA6771-3E7A-4CEE-9DEA-AE981F569505}"/>
  <bookViews>
    <workbookView xWindow="-108" yWindow="-108" windowWidth="23256" windowHeight="12456" activeTab="4" xr2:uid="{BCB9E690-5502-49C9-954A-06333BB73D4B}"/>
  </bookViews>
  <sheets>
    <sheet name="Assessment 1" sheetId="1" r:id="rId1"/>
    <sheet name="Birthdays" sheetId="2" r:id="rId2"/>
    <sheet name="Assessment 2" sheetId="3" r:id="rId3"/>
    <sheet name="Manufacturing Country" sheetId="4" r:id="rId4"/>
    <sheet name="Assessment 3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5" l="1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11" i="5"/>
  <c r="E5" i="5"/>
  <c r="H19" i="5"/>
  <c r="H12" i="5"/>
  <c r="H13" i="5"/>
  <c r="H14" i="5"/>
  <c r="H15" i="5"/>
  <c r="H16" i="5"/>
  <c r="H17" i="5"/>
  <c r="H18" i="5"/>
  <c r="H20" i="5"/>
  <c r="H21" i="5"/>
  <c r="H22" i="5"/>
  <c r="H23" i="5"/>
  <c r="H24" i="5"/>
  <c r="H25" i="5"/>
  <c r="H26" i="5"/>
  <c r="H27" i="5"/>
  <c r="H28" i="5"/>
  <c r="H29" i="5"/>
  <c r="H30" i="5"/>
  <c r="H11" i="5"/>
  <c r="D4" i="5"/>
  <c r="B34" i="3"/>
  <c r="B33" i="3"/>
  <c r="B32" i="3"/>
  <c r="B31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4" i="3"/>
  <c r="D27" i="3"/>
  <c r="G26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4" i="3"/>
  <c r="D25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B25" i="1"/>
  <c r="C25" i="1" s="1"/>
  <c r="B24" i="1"/>
  <c r="C24" i="1" s="1"/>
  <c r="C27" i="1"/>
  <c r="C19" i="1"/>
  <c r="C18" i="1"/>
  <c r="B19" i="1"/>
  <c r="B18" i="1"/>
  <c r="D24" i="1" l="1"/>
  <c r="D25" i="1"/>
</calcChain>
</file>

<file path=xl/sharedStrings.xml><?xml version="1.0" encoding="utf-8"?>
<sst xmlns="http://schemas.openxmlformats.org/spreadsheetml/2006/main" count="285" uniqueCount="169">
  <si>
    <t>Player Name</t>
  </si>
  <si>
    <t>Club</t>
  </si>
  <si>
    <t>Goals Scored</t>
  </si>
  <si>
    <t>Complete the following table:</t>
  </si>
  <si>
    <t>Retrieve the birthday for the following players from the data in "Birthdays" worksheet and complete the table:</t>
  </si>
  <si>
    <t>Birthday</t>
  </si>
  <si>
    <t>Player</t>
  </si>
  <si>
    <t>Below is the table of 2014-2015 Top Scores in the Spanish La Liga:</t>
  </si>
  <si>
    <t>Cristiano Ronaldo</t>
  </si>
  <si>
    <t>Lionel Messi</t>
  </si>
  <si>
    <t>Antoine Griezmann</t>
  </si>
  <si>
    <t>Neymar</t>
  </si>
  <si>
    <t>Carlos Bacca</t>
  </si>
  <si>
    <t>Aritz Aduriz</t>
  </si>
  <si>
    <t>Alberto Bueno</t>
  </si>
  <si>
    <t>Luis Suarez</t>
  </si>
  <si>
    <t>Karim Benzema</t>
  </si>
  <si>
    <t>Sergio Garcia</t>
  </si>
  <si>
    <t>Real Madrid</t>
  </si>
  <si>
    <t>Barcelona</t>
  </si>
  <si>
    <t>Atletico Madrid</t>
  </si>
  <si>
    <t>Sevilla</t>
  </si>
  <si>
    <t>Espanvol</t>
  </si>
  <si>
    <t>Ravo Vallecano</t>
  </si>
  <si>
    <t>Athletic Club</t>
  </si>
  <si>
    <t>Karim        Benzema</t>
  </si>
  <si>
    <t>How many players scored more than 20 goals?</t>
  </si>
  <si>
    <t>No. of Top Scorers</t>
  </si>
  <si>
    <t>Total no. of Goals Scored</t>
  </si>
  <si>
    <t>Weekday name of the Birthday</t>
  </si>
  <si>
    <t>Weekday number of the Birthday</t>
  </si>
  <si>
    <t>Car</t>
  </si>
  <si>
    <t>Year</t>
  </si>
  <si>
    <t>KM Driven</t>
  </si>
  <si>
    <t>Color</t>
  </si>
  <si>
    <t>Transimission</t>
  </si>
  <si>
    <t>Owner</t>
  </si>
  <si>
    <t>Price (USD)</t>
  </si>
  <si>
    <t>BMW X5</t>
  </si>
  <si>
    <t>White</t>
  </si>
  <si>
    <t>Automatic</t>
  </si>
  <si>
    <t>1st owner</t>
  </si>
  <si>
    <t>Audi A3</t>
  </si>
  <si>
    <t>Red</t>
  </si>
  <si>
    <t>Manual</t>
  </si>
  <si>
    <t>2nd owner</t>
  </si>
  <si>
    <t>$24321</t>
  </si>
  <si>
    <t>Mercedes S-Class</t>
  </si>
  <si>
    <t>Black</t>
  </si>
  <si>
    <t>3rd owner</t>
  </si>
  <si>
    <t>$102342</t>
  </si>
  <si>
    <t>$55272</t>
  </si>
  <si>
    <t>BMW X3</t>
  </si>
  <si>
    <t>Lexus RX350</t>
  </si>
  <si>
    <t>$51292</t>
  </si>
  <si>
    <t>Blue</t>
  </si>
  <si>
    <t>$37605</t>
  </si>
  <si>
    <t xml:space="preserve">Blue </t>
  </si>
  <si>
    <t>$45000</t>
  </si>
  <si>
    <t>BMW 3 Series</t>
  </si>
  <si>
    <t>$13241</t>
  </si>
  <si>
    <t>$49344</t>
  </si>
  <si>
    <t>Tesla Model 3</t>
  </si>
  <si>
    <t>Yellow</t>
  </si>
  <si>
    <t>$52432</t>
  </si>
  <si>
    <t>Volvo XC90</t>
  </si>
  <si>
    <t xml:space="preserve"> Black</t>
  </si>
  <si>
    <t>$17452</t>
  </si>
  <si>
    <t>Audi Q7</t>
  </si>
  <si>
    <t>$23250</t>
  </si>
  <si>
    <t>Cadillac XT5</t>
  </si>
  <si>
    <t>$32420</t>
  </si>
  <si>
    <t>Jaguar XF</t>
  </si>
  <si>
    <t>$18454</t>
  </si>
  <si>
    <t>$41000</t>
  </si>
  <si>
    <t>BMW 428i</t>
  </si>
  <si>
    <t>$35240</t>
  </si>
  <si>
    <t>4th owner</t>
  </si>
  <si>
    <t>Data Set relating to a Luxuary Car Dealership Company.</t>
  </si>
  <si>
    <t>As a data analyst of the company, you were assigned with the following tasks:</t>
  </si>
  <si>
    <t>1. What's the most popular car manufacturer?</t>
  </si>
  <si>
    <t>2. What's the most popular manufacturing country (Refer to "Manufacturing country" sheet)?</t>
  </si>
  <si>
    <t>3. What's the least popular color for cars?</t>
  </si>
  <si>
    <t>Company</t>
  </si>
  <si>
    <t>Country</t>
  </si>
  <si>
    <t>BMW</t>
  </si>
  <si>
    <t>Germany</t>
  </si>
  <si>
    <t>Audi</t>
  </si>
  <si>
    <t>Tesla</t>
  </si>
  <si>
    <t>USA</t>
  </si>
  <si>
    <t>Jaguar</t>
  </si>
  <si>
    <t>UK</t>
  </si>
  <si>
    <t>Mercedes</t>
  </si>
  <si>
    <t>Volvo</t>
  </si>
  <si>
    <t>Sweden</t>
  </si>
  <si>
    <t>Cadillac</t>
  </si>
  <si>
    <t>Lexus</t>
  </si>
  <si>
    <t>Japan</t>
  </si>
  <si>
    <t>4. What's the average price per owner? (1st Owner, 2nd Owner, 3rd Owner, 4th Owner)</t>
  </si>
  <si>
    <t>Below is the lineup of the Nigeria team that played the Nigeria-Iceland match during World Cup 2018 (Which ended 2-0 to Nigeria!)</t>
  </si>
  <si>
    <t>Complete the following assingments using Excel functions:</t>
  </si>
  <si>
    <t>1. How many players received a yellow/red card during the game?</t>
  </si>
  <si>
    <t>2. Return the names of the players that joined the game as substitutes.</t>
  </si>
  <si>
    <t>3. Return the names of the players that played in more than one position during the game</t>
  </si>
  <si>
    <t>4. Return the names of the players that played the entire game (From start to the final whistle, without being substituted)</t>
  </si>
  <si>
    <t>Chidozie Collins Awaziem</t>
  </si>
  <si>
    <t>Chidozie Awaziem</t>
  </si>
  <si>
    <t>Nigeria</t>
  </si>
  <si>
    <t>[]</t>
  </si>
  <si>
    <t>Onyinye Wilfred Ndidi</t>
  </si>
  <si>
    <t>Wilfred Ndidi</t>
  </si>
  <si>
    <t>[{'position_id': 13, 'position': 'Right Center Midfield', 'from': '00:00', 'to': '89:47', 'from_period': 1, 'to_period': 2, 'start_reason': 'Starting XI', 'end_reason': 'Tactical Shift'}, {'position_id': 14, 'position': 'Center Midfield', 'from': '89:47', 'to': None, 'from_period': 2, 'to_period': None, 'start_reason': 'Tactical Shift', 'end_reason': 'Final Whistle'}]</t>
  </si>
  <si>
    <t>Alex Iwobi</t>
  </si>
  <si>
    <t>[{'position_id': 15, 'position': 'Left Center Midfield', 'from': '89:40', 'to': '89:47', 'from_period': 2, 'to_period': 2, 'start_reason': 'Substitution - On (Tactical)', 'end_reason': 'Tactical Shift'}, {'position_id': 19, 'position': 'Center Attacking Midfield', 'from': '89:47', 'to': None, 'from_period': 2, 'to_period': None, 'start_reason': 'Tactical Shift', 'end_reason': 'Final Whistle'}]</t>
  </si>
  <si>
    <t>Kelechi Promise Iheanacho</t>
  </si>
  <si>
    <t>Kelechi Iheanacho</t>
  </si>
  <si>
    <t>[{'position_id': 24, 'position': 'Left Center Forward', 'from': '00:00', 'to': '84:03', 'from_period': 1, 'to_period': 2, 'start_reason': 'Starting XI', 'end_reason': 'Substitution - Off (Tactical)'}]</t>
  </si>
  <si>
    <t>Victor Moses</t>
  </si>
  <si>
    <t>[{'position_id': 12, 'position': 'Right Midfield', 'from': '00:00', 'to': None, 'from_period': 1, 'to_period': None, 'start_reason': 'Starting XI', 'end_reason': 'Final Whistle'}]</t>
  </si>
  <si>
    <t>Francis Odinaka Uzoho</t>
  </si>
  <si>
    <t>Francis Uzoho</t>
  </si>
  <si>
    <t>[{'position_id': 1, 'position': 'Goalkeeper', 'from': '00:00', 'to': None, 'from_period': 1, 'to_period': None, 'start_reason': 'Starting XI', 'end_reason': 'Final Whistle'}]</t>
  </si>
  <si>
    <t>William Troost-Ekong</t>
  </si>
  <si>
    <t>[{'position_id': 4, 'position': 'Center Back', 'from': '00:00', 'to': None, 'from_period': 1, 'to_period': None, 'start_reason': 'Starting XI', 'end_reason': 'Final Whistle'}]</t>
  </si>
  <si>
    <t>Odion Jude Ighalo</t>
  </si>
  <si>
    <t>Odion Ighalo</t>
  </si>
  <si>
    <t>[{'position_id': 24, 'position': 'Left Center Forward', 'from': '84:03', 'to': '89:47', 'from_period': 2, 'to_period': 2, 'start_reason': 'Substitution - On (Tactical)', 'end_reason': 'Tactical Shift'}, {'position_id': 22, 'position': 'Right Center Forward', 'from': '89:47', 'to': None, 'from_period': 2, 'to_period': None, 'start_reason': 'Tactical Shift', 'end_reason': 'Final Whistle'}]</t>
  </si>
  <si>
    <t>Brian Oladapo Idowu</t>
  </si>
  <si>
    <t>Brian Idowu</t>
  </si>
  <si>
    <t>[{'time': '43:25', 'card_type': 'Yellow Card', 'reason': 'Foul Committed', 'period': 1}]</t>
  </si>
  <si>
    <t>[{'position_id': 16, 'position': 'Left Midfield', 'from': '00:00', 'to': '45:00', 'from_period': 1, 'to_period': 2, 'start_reason': 'Starting XI', 'end_reason': 'Substitution - Off (Tactical)'}]</t>
  </si>
  <si>
    <t>Simeon Tochukwu Nwankwo</t>
  </si>
  <si>
    <t>Simy</t>
  </si>
  <si>
    <t>Oghenekaro Etebo</t>
  </si>
  <si>
    <t>Peter Etebo</t>
  </si>
  <si>
    <t>[{'position_id': 15, 'position': 'Left Center Midfield', 'from': '00:00', 'to': '89:40', 'from_period': 1, 'to_period': 2, 'start_reason': 'Starting XI', 'end_reason': 'Substitution - Off (Tactical)'}]</t>
  </si>
  <si>
    <t>Leon Aderemi Balogun</t>
  </si>
  <si>
    <t>[{'position_id': 3, 'position': 'Right Center Back', 'from': '00:00', 'to': None, 'from_period': 1, 'to_period': None, 'start_reason': 'Starting XI', 'end_reason': 'Final Whistle'}]</t>
  </si>
  <si>
    <t>Abdullahi Shehu</t>
  </si>
  <si>
    <t>Ahmed Musa</t>
  </si>
  <si>
    <t>[{'position_id': 22, 'position': 'Right Center Forward', 'from': '00:00', 'to': '89:47', 'from_period': 1, 'to_period': 2, 'start_reason': 'Starting XI', 'end_reason': 'Tactical Shift'}, {'position_id': 24, 'position': 'Left Center Forward', 'from': '89:47', 'to': None, 'from_period': 2, 'to_period': None, 'start_reason': 'Tactical Shift', 'end_reason': 'Final Whistle'}]</t>
  </si>
  <si>
    <t>John Michael Nchekwube Obinna</t>
  </si>
  <si>
    <t>John Obi Mikel</t>
  </si>
  <si>
    <t>[{'position_id': 14, 'position': 'Center Midfield', 'from': '00:00', 'to': '89:47', 'from_period': 1, 'to_period': 2, 'start_reason': 'Starting XI', 'end_reason': 'Tactical Shift'}, {'position_id': 10, 'position': 'Center Defensive Midfield', 'from': '89:47', 'to': '94:47', 'from_period': 2, 'to_period': 2, 'start_reason': 'Tactical Shift', 'end_reason': 'Player Off'}, {'position_id': 10, 'position': 'Center Defensive Midfield', 'from': '95:13', 'to': None, 'from_period': 2, 'to_period': None, 'start_reason': 'Player On', 'end_reason': 'Final Whistle'}]</t>
  </si>
  <si>
    <t>Kenneth Josiah Omeruo</t>
  </si>
  <si>
    <t>Kenneth Omeruo</t>
  </si>
  <si>
    <t>[{'position_id': 5, 'position': 'Left Center Back', 'from': '00:00', 'to': '89:47', 'from_period': 1, 'to_period': 2, 'start_reason': 'Starting XI', 'end_reason': 'Tactical Shift'}, {'position_id': 6, 'position': 'Left Back', 'from': '89:47', 'to': None, 'from_period': 2, 'to_period': None, 'start_reason': 'Tactical Shift', 'end_reason': 'Final Whistle'}]</t>
  </si>
  <si>
    <t>Tyronne Ebuehi</t>
  </si>
  <si>
    <t>[{'position_id': 16, 'position': 'Left Midfield', 'from': '45:00', 'to': None, 'from_period': 2, 'to_period': None, 'start_reason': 'Substitution - On (Tactical)', 'end_reason': 'Final Whistle'}]</t>
  </si>
  <si>
    <t>Joel Chukwuma Obi</t>
  </si>
  <si>
    <t>Joel Obi</t>
  </si>
  <si>
    <t>Elderson Uwa Echiejile</t>
  </si>
  <si>
    <t>Ogenyi Eddy Onazi</t>
  </si>
  <si>
    <t>Ogenyi Onazi</t>
  </si>
  <si>
    <t>Player Nickname</t>
  </si>
  <si>
    <t>Jersey Number</t>
  </si>
  <si>
    <t>Cards</t>
  </si>
  <si>
    <t>Positions</t>
  </si>
  <si>
    <t>Car Manufacturer</t>
  </si>
  <si>
    <t>Price $</t>
  </si>
  <si>
    <t>Average Price</t>
  </si>
  <si>
    <t>`</t>
  </si>
  <si>
    <t>Alex Iwobi, Odion Jude Ighalo,Tyronne Ebuehi</t>
  </si>
  <si>
    <t>Onyinye Wilfred Ndidi, Alex Iwobi, Odion Jude Ighalo, Ahmed Musa, John Michael Nchekwube Obinna, Kenneth Josiah Omeruo</t>
  </si>
  <si>
    <t>Onyinye Wilfred Ndidi, Victor Moses, Francis Odinaka Uzoho, William Troost-Ekong, Leon Aderemi Balogun, Ahmed Musa, John Michael Nchekwube Obinna, Kenneth Josiah Omeruo</t>
  </si>
  <si>
    <t>Yellow/Red card</t>
  </si>
  <si>
    <t>Substitutes</t>
  </si>
  <si>
    <t>More than one position</t>
  </si>
  <si>
    <t>Entire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</si>
</sst>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Fill="1" applyBorder="1"/>
    <xf numFmtId="0" fontId="1" fillId="0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C8F4-A6B8-49CB-A3DE-84FCC20A9488}">
  <dimension ref="A1:D27"/>
  <sheetViews>
    <sheetView topLeftCell="A7" workbookViewId="0">
      <selection activeCell="C35" sqref="C35"/>
    </sheetView>
  </sheetViews>
  <sheetFormatPr defaultColWidth="9.109375" defaultRowHeight="12"/>
  <cols>
    <col min="1" max="1" width="21" style="1" customWidth="1"/>
    <col min="2" max="2" width="15.5546875" style="1" customWidth="1"/>
    <col min="3" max="3" width="24.5546875" style="1" customWidth="1"/>
    <col min="4" max="4" width="22.5546875" style="1" customWidth="1"/>
    <col min="5" max="16384" width="9.109375" style="1"/>
  </cols>
  <sheetData>
    <row r="1" spans="1:3">
      <c r="A1" s="1" t="s">
        <v>7</v>
      </c>
    </row>
    <row r="3" spans="1:3">
      <c r="A3" s="4" t="s">
        <v>0</v>
      </c>
      <c r="B3" s="4" t="s">
        <v>1</v>
      </c>
      <c r="C3" s="4" t="s">
        <v>2</v>
      </c>
    </row>
    <row r="4" spans="1:3">
      <c r="A4" s="2" t="s">
        <v>8</v>
      </c>
      <c r="B4" s="2" t="s">
        <v>18</v>
      </c>
      <c r="C4" s="2">
        <v>48</v>
      </c>
    </row>
    <row r="5" spans="1:3">
      <c r="A5" s="2" t="s">
        <v>9</v>
      </c>
      <c r="B5" s="2" t="s">
        <v>19</v>
      </c>
      <c r="C5" s="2">
        <v>43</v>
      </c>
    </row>
    <row r="6" spans="1:3">
      <c r="A6" s="2" t="s">
        <v>10</v>
      </c>
      <c r="B6" s="2" t="s">
        <v>20</v>
      </c>
      <c r="C6" s="2">
        <v>22</v>
      </c>
    </row>
    <row r="7" spans="1:3">
      <c r="A7" s="2" t="s">
        <v>11</v>
      </c>
      <c r="B7" s="2" t="s">
        <v>19</v>
      </c>
      <c r="C7" s="2">
        <v>22</v>
      </c>
    </row>
    <row r="8" spans="1:3">
      <c r="A8" s="2" t="s">
        <v>12</v>
      </c>
      <c r="B8" s="2" t="s">
        <v>21</v>
      </c>
      <c r="C8" s="2">
        <v>20</v>
      </c>
    </row>
    <row r="9" spans="1:3">
      <c r="A9" s="2" t="s">
        <v>13</v>
      </c>
      <c r="B9" s="2" t="s">
        <v>24</v>
      </c>
      <c r="C9" s="2">
        <v>18</v>
      </c>
    </row>
    <row r="10" spans="1:3">
      <c r="A10" s="2" t="s">
        <v>14</v>
      </c>
      <c r="B10" s="2" t="s">
        <v>23</v>
      </c>
      <c r="C10" s="2">
        <v>17</v>
      </c>
    </row>
    <row r="11" spans="1:3">
      <c r="A11" s="2" t="s">
        <v>15</v>
      </c>
      <c r="B11" s="2" t="s">
        <v>19</v>
      </c>
      <c r="C11" s="2">
        <v>16</v>
      </c>
    </row>
    <row r="12" spans="1:3">
      <c r="A12" s="2" t="s">
        <v>16</v>
      </c>
      <c r="B12" s="2" t="s">
        <v>18</v>
      </c>
      <c r="C12" s="2">
        <v>15</v>
      </c>
    </row>
    <row r="13" spans="1:3">
      <c r="A13" s="2" t="s">
        <v>17</v>
      </c>
      <c r="B13" s="2" t="s">
        <v>22</v>
      </c>
      <c r="C13" s="2">
        <v>14</v>
      </c>
    </row>
    <row r="15" spans="1:3">
      <c r="A15" s="1" t="s">
        <v>3</v>
      </c>
    </row>
    <row r="17" spans="1:4">
      <c r="A17" s="4" t="s">
        <v>1</v>
      </c>
      <c r="B17" s="4" t="s">
        <v>27</v>
      </c>
      <c r="C17" s="4" t="s">
        <v>28</v>
      </c>
    </row>
    <row r="18" spans="1:4">
      <c r="A18" s="2" t="s">
        <v>18</v>
      </c>
      <c r="B18" s="5">
        <f>COUNTIF(B3:B13, A18)</f>
        <v>2</v>
      </c>
      <c r="C18" s="5">
        <f>SUMIF(B3:B13, A18, C3:C13)</f>
        <v>63</v>
      </c>
    </row>
    <row r="19" spans="1:4">
      <c r="A19" s="2" t="s">
        <v>19</v>
      </c>
      <c r="B19" s="5">
        <f>COUNTIF(B3:B13, A19)</f>
        <v>3</v>
      </c>
      <c r="C19" s="5">
        <f>SUMIF(B3:B13, A19, C3:C13)</f>
        <v>81</v>
      </c>
    </row>
    <row r="21" spans="1:4">
      <c r="A21" s="1" t="s">
        <v>4</v>
      </c>
    </row>
    <row r="23" spans="1:4">
      <c r="A23" s="4" t="s">
        <v>0</v>
      </c>
      <c r="B23" s="4" t="s">
        <v>5</v>
      </c>
      <c r="C23" s="4" t="s">
        <v>30</v>
      </c>
      <c r="D23" s="4" t="s">
        <v>29</v>
      </c>
    </row>
    <row r="24" spans="1:4">
      <c r="A24" s="2" t="s">
        <v>10</v>
      </c>
      <c r="B24" s="5" t="e">
        <f>VLOOKUP(A24, Birthdays!A:B, 2, FALSE)</f>
        <v>#N/A</v>
      </c>
      <c r="C24" s="5" t="e">
        <f>WEEKDAY(B24)</f>
        <v>#N/A</v>
      </c>
      <c r="D24" s="5" t="e">
        <f>TEXT(B24,"dddd")</f>
        <v>#N/A</v>
      </c>
    </row>
    <row r="25" spans="1:4">
      <c r="A25" s="2" t="s">
        <v>25</v>
      </c>
      <c r="B25" s="5" t="e">
        <f>VLOOKUP(A25, Birthdays!A:B, 2, FALSE)</f>
        <v>#N/A</v>
      </c>
      <c r="C25" s="5" t="e">
        <f>WEEKDAY(B25)</f>
        <v>#N/A</v>
      </c>
      <c r="D25" s="5" t="e">
        <f>TEXT(B25,"dddd")</f>
        <v>#N/A</v>
      </c>
    </row>
    <row r="27" spans="1:4">
      <c r="A27" s="1" t="s">
        <v>26</v>
      </c>
      <c r="C27" s="5">
        <f>COUNTIF(C3:C13, "&gt;20")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11FF-9501-4461-8F57-14C9367D1EE1}">
  <dimension ref="A1:B6"/>
  <sheetViews>
    <sheetView workbookViewId="0">
      <selection activeCell="B11" sqref="B11"/>
    </sheetView>
  </sheetViews>
  <sheetFormatPr defaultColWidth="9.109375" defaultRowHeight="12"/>
  <cols>
    <col min="1" max="1" width="10.44140625" style="1" bestFit="1" customWidth="1"/>
    <col min="2" max="2" width="14.33203125" style="1" bestFit="1" customWidth="1"/>
    <col min="3" max="16384" width="9.109375" style="1"/>
  </cols>
  <sheetData>
    <row r="1" spans="1:2">
      <c r="A1" s="4" t="s">
        <v>5</v>
      </c>
      <c r="B1" s="4" t="s">
        <v>6</v>
      </c>
    </row>
    <row r="2" spans="1:2">
      <c r="A2" s="3">
        <v>31083</v>
      </c>
      <c r="B2" s="2" t="s">
        <v>8</v>
      </c>
    </row>
    <row r="3" spans="1:2">
      <c r="A3" s="3">
        <v>31952</v>
      </c>
      <c r="B3" s="2" t="s">
        <v>9</v>
      </c>
    </row>
    <row r="4" spans="1:2">
      <c r="A4" s="3">
        <v>33318</v>
      </c>
      <c r="B4" s="2" t="s">
        <v>10</v>
      </c>
    </row>
    <row r="5" spans="1:2">
      <c r="A5" s="3">
        <v>31801</v>
      </c>
      <c r="B5" s="2" t="s">
        <v>15</v>
      </c>
    </row>
    <row r="6" spans="1:2">
      <c r="A6" s="3">
        <v>32130</v>
      </c>
      <c r="B6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EE7B-C649-4341-AF44-1000588CFA5D}">
  <dimension ref="A1:J34"/>
  <sheetViews>
    <sheetView workbookViewId="0">
      <selection activeCell="D25" sqref="D25"/>
    </sheetView>
  </sheetViews>
  <sheetFormatPr defaultColWidth="9.109375" defaultRowHeight="12"/>
  <cols>
    <col min="1" max="1" width="14.44140625" style="1" customWidth="1"/>
    <col min="2" max="2" width="11.5546875" style="1" bestFit="1" customWidth="1"/>
    <col min="3" max="4" width="9.109375" style="1"/>
    <col min="5" max="5" width="12.5546875" style="1" customWidth="1"/>
    <col min="6" max="16384" width="9.109375" style="1"/>
  </cols>
  <sheetData>
    <row r="1" spans="1:10">
      <c r="A1" s="1" t="s">
        <v>78</v>
      </c>
    </row>
    <row r="2" spans="1:10" ht="4.5" customHeight="1"/>
    <row r="3" spans="1:10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6" t="s">
        <v>37</v>
      </c>
      <c r="H3" s="1" t="s">
        <v>158</v>
      </c>
      <c r="I3" s="1" t="s">
        <v>84</v>
      </c>
      <c r="J3" s="1" t="s">
        <v>159</v>
      </c>
    </row>
    <row r="4" spans="1:10">
      <c r="A4" s="2" t="s">
        <v>38</v>
      </c>
      <c r="B4" s="2">
        <v>2012</v>
      </c>
      <c r="C4" s="2">
        <v>342358</v>
      </c>
      <c r="D4" s="2" t="s">
        <v>39</v>
      </c>
      <c r="E4" s="2" t="s">
        <v>40</v>
      </c>
      <c r="F4" s="2" t="s">
        <v>41</v>
      </c>
      <c r="G4" s="7">
        <v>15400</v>
      </c>
      <c r="H4" s="1" t="str">
        <f>LEFT(A4,FIND(" ",A4)-1)</f>
        <v>BMW</v>
      </c>
      <c r="I4" s="1" t="str">
        <f>VLOOKUP(H4,'Manufacturing Country'!A:B,2,FALSE)</f>
        <v>Germany</v>
      </c>
      <c r="J4" s="1">
        <f>VALUE(SUBSTITUTE(SUBSTITUTE(G4,"$",""),",",""))</f>
        <v>15400</v>
      </c>
    </row>
    <row r="5" spans="1:10">
      <c r="A5" s="2" t="s">
        <v>42</v>
      </c>
      <c r="B5" s="2">
        <v>2017</v>
      </c>
      <c r="C5" s="2">
        <v>130000</v>
      </c>
      <c r="D5" s="2" t="s">
        <v>43</v>
      </c>
      <c r="E5" s="2" t="s">
        <v>44</v>
      </c>
      <c r="F5" s="2" t="s">
        <v>45</v>
      </c>
      <c r="G5" s="7" t="s">
        <v>46</v>
      </c>
      <c r="H5" s="1" t="str">
        <f t="shared" ref="H5:H21" si="0">LEFT(A5,FIND(" ",A5)-1)</f>
        <v>Audi</v>
      </c>
      <c r="I5" s="1" t="str">
        <f>VLOOKUP(H5,'Manufacturing Country'!A:B,2,FALSE)</f>
        <v>Germany</v>
      </c>
      <c r="J5" s="1">
        <f t="shared" ref="J5:J21" si="1">VALUE(SUBSTITUTE(SUBSTITUTE(G5,"$",""),",",""))</f>
        <v>24321</v>
      </c>
    </row>
    <row r="6" spans="1:10">
      <c r="A6" s="2" t="s">
        <v>47</v>
      </c>
      <c r="B6" s="2">
        <v>2020</v>
      </c>
      <c r="C6" s="2">
        <v>92450</v>
      </c>
      <c r="D6" s="2" t="s">
        <v>48</v>
      </c>
      <c r="E6" s="2" t="s">
        <v>40</v>
      </c>
      <c r="F6" s="2" t="s">
        <v>49</v>
      </c>
      <c r="G6" s="7" t="s">
        <v>50</v>
      </c>
      <c r="H6" s="1" t="str">
        <f t="shared" si="0"/>
        <v>Mercedes</v>
      </c>
      <c r="I6" s="1" t="str">
        <f>VLOOKUP(H6,'Manufacturing Country'!A:B,2,FALSE)</f>
        <v>Germany</v>
      </c>
      <c r="J6" s="1">
        <f t="shared" si="1"/>
        <v>102342</v>
      </c>
    </row>
    <row r="7" spans="1:10">
      <c r="A7" s="2" t="s">
        <v>38</v>
      </c>
      <c r="B7" s="2">
        <v>2020</v>
      </c>
      <c r="C7" s="2">
        <v>76240</v>
      </c>
      <c r="D7" s="2" t="s">
        <v>39</v>
      </c>
      <c r="E7" s="2" t="s">
        <v>40</v>
      </c>
      <c r="F7" s="2" t="s">
        <v>45</v>
      </c>
      <c r="G7" s="7" t="s">
        <v>51</v>
      </c>
      <c r="H7" s="1" t="str">
        <f t="shared" si="0"/>
        <v>BMW</v>
      </c>
      <c r="I7" s="1" t="str">
        <f>VLOOKUP(H7,'Manufacturing Country'!A:B,2,FALSE)</f>
        <v>Germany</v>
      </c>
      <c r="J7" s="1">
        <f t="shared" si="1"/>
        <v>55272</v>
      </c>
    </row>
    <row r="8" spans="1:10">
      <c r="A8" s="2" t="s">
        <v>52</v>
      </c>
      <c r="B8" s="2">
        <v>2021</v>
      </c>
      <c r="C8" s="2">
        <v>17283</v>
      </c>
      <c r="D8" s="2" t="s">
        <v>39</v>
      </c>
      <c r="E8" s="2" t="s">
        <v>44</v>
      </c>
      <c r="F8" s="2" t="s">
        <v>41</v>
      </c>
      <c r="G8" s="7">
        <v>42000</v>
      </c>
      <c r="H8" s="1" t="str">
        <f t="shared" si="0"/>
        <v>BMW</v>
      </c>
      <c r="I8" s="1" t="str">
        <f>VLOOKUP(H8,'Manufacturing Country'!A:B,2,FALSE)</f>
        <v>Germany</v>
      </c>
      <c r="J8" s="1">
        <f t="shared" si="1"/>
        <v>42000</v>
      </c>
    </row>
    <row r="9" spans="1:10">
      <c r="A9" s="2" t="s">
        <v>53</v>
      </c>
      <c r="B9" s="2">
        <v>2020</v>
      </c>
      <c r="C9" s="2">
        <v>98312</v>
      </c>
      <c r="D9" s="2" t="s">
        <v>43</v>
      </c>
      <c r="E9" s="2" t="s">
        <v>40</v>
      </c>
      <c r="F9" s="2" t="s">
        <v>49</v>
      </c>
      <c r="G9" s="7" t="s">
        <v>54</v>
      </c>
      <c r="H9" s="1" t="str">
        <f t="shared" si="0"/>
        <v>Lexus</v>
      </c>
      <c r="I9" s="1" t="str">
        <f>VLOOKUP(H9,'Manufacturing Country'!A:B,2,FALSE)</f>
        <v>Japan</v>
      </c>
      <c r="J9" s="1">
        <f t="shared" si="1"/>
        <v>51292</v>
      </c>
    </row>
    <row r="10" spans="1:10">
      <c r="A10" s="2" t="s">
        <v>52</v>
      </c>
      <c r="B10" s="2">
        <v>2018</v>
      </c>
      <c r="C10" s="2">
        <v>156784</v>
      </c>
      <c r="D10" s="2" t="s">
        <v>55</v>
      </c>
      <c r="E10" s="2" t="s">
        <v>44</v>
      </c>
      <c r="F10" s="2" t="s">
        <v>49</v>
      </c>
      <c r="G10" s="7" t="s">
        <v>56</v>
      </c>
      <c r="H10" s="1" t="str">
        <f t="shared" si="0"/>
        <v>BMW</v>
      </c>
      <c r="I10" s="1" t="str">
        <f>VLOOKUP(H10,'Manufacturing Country'!A:B,2,FALSE)</f>
        <v>Germany</v>
      </c>
      <c r="J10" s="1">
        <f t="shared" si="1"/>
        <v>37605</v>
      </c>
    </row>
    <row r="11" spans="1:10">
      <c r="A11" s="2" t="s">
        <v>38</v>
      </c>
      <c r="B11" s="2">
        <v>2019</v>
      </c>
      <c r="C11" s="2">
        <v>52034</v>
      </c>
      <c r="D11" s="2" t="s">
        <v>57</v>
      </c>
      <c r="E11" s="2" t="s">
        <v>40</v>
      </c>
      <c r="F11" s="2" t="s">
        <v>41</v>
      </c>
      <c r="G11" s="7" t="s">
        <v>58</v>
      </c>
      <c r="H11" s="1" t="str">
        <f t="shared" si="0"/>
        <v>BMW</v>
      </c>
      <c r="I11" s="1" t="str">
        <f>VLOOKUP(H11,'Manufacturing Country'!A:B,2,FALSE)</f>
        <v>Germany</v>
      </c>
      <c r="J11" s="1">
        <f t="shared" si="1"/>
        <v>45000</v>
      </c>
    </row>
    <row r="12" spans="1:10">
      <c r="A12" s="2" t="s">
        <v>59</v>
      </c>
      <c r="B12" s="2">
        <v>2011</v>
      </c>
      <c r="C12" s="2">
        <v>205204</v>
      </c>
      <c r="D12" s="2" t="s">
        <v>43</v>
      </c>
      <c r="E12" s="2" t="s">
        <v>40</v>
      </c>
      <c r="F12" s="2" t="s">
        <v>45</v>
      </c>
      <c r="G12" s="7" t="s">
        <v>60</v>
      </c>
      <c r="H12" s="1" t="str">
        <f t="shared" si="0"/>
        <v>BMW</v>
      </c>
      <c r="I12" s="1" t="str">
        <f>VLOOKUP(H12,'Manufacturing Country'!A:B,2,FALSE)</f>
        <v>Germany</v>
      </c>
      <c r="J12" s="1">
        <f t="shared" si="1"/>
        <v>13241</v>
      </c>
    </row>
    <row r="13" spans="1:10">
      <c r="A13" s="2" t="s">
        <v>47</v>
      </c>
      <c r="B13" s="2">
        <v>2014</v>
      </c>
      <c r="C13" s="2">
        <v>152985</v>
      </c>
      <c r="D13" s="2" t="s">
        <v>48</v>
      </c>
      <c r="E13" s="2" t="s">
        <v>40</v>
      </c>
      <c r="F13" s="2" t="s">
        <v>45</v>
      </c>
      <c r="G13" s="7" t="s">
        <v>61</v>
      </c>
      <c r="H13" s="1" t="str">
        <f t="shared" si="0"/>
        <v>Mercedes</v>
      </c>
      <c r="I13" s="1" t="str">
        <f>VLOOKUP(H13,'Manufacturing Country'!A:B,2,FALSE)</f>
        <v>Germany</v>
      </c>
      <c r="J13" s="1">
        <f t="shared" si="1"/>
        <v>49344</v>
      </c>
    </row>
    <row r="14" spans="1:10">
      <c r="A14" s="2" t="s">
        <v>62</v>
      </c>
      <c r="B14" s="2">
        <v>2018</v>
      </c>
      <c r="C14" s="2">
        <v>76429</v>
      </c>
      <c r="D14" s="2" t="s">
        <v>63</v>
      </c>
      <c r="E14" s="2" t="s">
        <v>40</v>
      </c>
      <c r="F14" s="2" t="s">
        <v>41</v>
      </c>
      <c r="G14" s="7" t="s">
        <v>64</v>
      </c>
      <c r="H14" s="1" t="str">
        <f t="shared" si="0"/>
        <v>Tesla</v>
      </c>
      <c r="I14" s="1" t="str">
        <f>VLOOKUP(H14,'Manufacturing Country'!A:B,2,FALSE)</f>
        <v>USA</v>
      </c>
      <c r="J14" s="1">
        <f t="shared" si="1"/>
        <v>52432</v>
      </c>
    </row>
    <row r="15" spans="1:10">
      <c r="A15" s="2" t="s">
        <v>65</v>
      </c>
      <c r="B15" s="2">
        <v>2013</v>
      </c>
      <c r="C15" s="2">
        <v>254028</v>
      </c>
      <c r="D15" s="2" t="s">
        <v>66</v>
      </c>
      <c r="E15" s="2" t="s">
        <v>44</v>
      </c>
      <c r="F15" s="2" t="s">
        <v>45</v>
      </c>
      <c r="G15" s="7" t="s">
        <v>67</v>
      </c>
      <c r="H15" s="1" t="str">
        <f t="shared" si="0"/>
        <v>Volvo</v>
      </c>
      <c r="I15" s="1" t="str">
        <f>VLOOKUP(H15,'Manufacturing Country'!A:B,2,FALSE)</f>
        <v>Sweden</v>
      </c>
      <c r="J15" s="1">
        <f t="shared" si="1"/>
        <v>17452</v>
      </c>
    </row>
    <row r="16" spans="1:10">
      <c r="A16" s="2" t="s">
        <v>68</v>
      </c>
      <c r="B16" s="2">
        <v>2014</v>
      </c>
      <c r="C16" s="2">
        <v>45832</v>
      </c>
      <c r="D16" s="2" t="s">
        <v>39</v>
      </c>
      <c r="E16" s="2" t="s">
        <v>44</v>
      </c>
      <c r="F16" s="2" t="s">
        <v>41</v>
      </c>
      <c r="G16" s="7" t="s">
        <v>69</v>
      </c>
      <c r="H16" s="1" t="str">
        <f t="shared" si="0"/>
        <v>Audi</v>
      </c>
      <c r="I16" s="1" t="str">
        <f>VLOOKUP(H16,'Manufacturing Country'!A:B,2,FALSE)</f>
        <v>Germany</v>
      </c>
      <c r="J16" s="1">
        <f t="shared" si="1"/>
        <v>23250</v>
      </c>
    </row>
    <row r="17" spans="1:10">
      <c r="A17" s="2" t="s">
        <v>70</v>
      </c>
      <c r="B17" s="2">
        <v>2018</v>
      </c>
      <c r="C17" s="2">
        <v>67591</v>
      </c>
      <c r="D17" s="2" t="s">
        <v>55</v>
      </c>
      <c r="E17" s="2" t="s">
        <v>40</v>
      </c>
      <c r="F17" s="2" t="s">
        <v>45</v>
      </c>
      <c r="G17" s="7" t="s">
        <v>71</v>
      </c>
      <c r="H17" s="1" t="str">
        <f t="shared" si="0"/>
        <v>Cadillac</v>
      </c>
      <c r="I17" s="1" t="str">
        <f>VLOOKUP(H17,'Manufacturing Country'!A:B,2,FALSE)</f>
        <v>USA</v>
      </c>
      <c r="J17" s="1">
        <f t="shared" si="1"/>
        <v>32420</v>
      </c>
    </row>
    <row r="18" spans="1:10">
      <c r="A18" s="2" t="s">
        <v>72</v>
      </c>
      <c r="B18" s="2">
        <v>2013</v>
      </c>
      <c r="C18" s="2">
        <v>85320</v>
      </c>
      <c r="D18" s="2" t="s">
        <v>39</v>
      </c>
      <c r="E18" s="2" t="s">
        <v>40</v>
      </c>
      <c r="F18" s="2" t="s">
        <v>45</v>
      </c>
      <c r="G18" s="7" t="s">
        <v>73</v>
      </c>
      <c r="H18" s="1" t="str">
        <f t="shared" si="0"/>
        <v>Jaguar</v>
      </c>
      <c r="I18" s="1" t="str">
        <f>VLOOKUP(H18,'Manufacturing Country'!A:B,2,FALSE)</f>
        <v>UK</v>
      </c>
      <c r="J18" s="1">
        <f t="shared" si="1"/>
        <v>18454</v>
      </c>
    </row>
    <row r="19" spans="1:10">
      <c r="A19" s="2" t="s">
        <v>53</v>
      </c>
      <c r="B19" s="2">
        <v>2016</v>
      </c>
      <c r="C19" s="2">
        <v>5000</v>
      </c>
      <c r="D19" s="2" t="s">
        <v>39</v>
      </c>
      <c r="E19" s="2" t="s">
        <v>40</v>
      </c>
      <c r="F19" s="2" t="s">
        <v>41</v>
      </c>
      <c r="G19" s="7" t="s">
        <v>74</v>
      </c>
      <c r="H19" s="1" t="str">
        <f t="shared" si="0"/>
        <v>Lexus</v>
      </c>
      <c r="I19" s="1" t="str">
        <f>VLOOKUP(H19,'Manufacturing Country'!A:B,2,FALSE)</f>
        <v>Japan</v>
      </c>
      <c r="J19" s="1">
        <f t="shared" si="1"/>
        <v>41000</v>
      </c>
    </row>
    <row r="20" spans="1:10">
      <c r="A20" s="2" t="s">
        <v>75</v>
      </c>
      <c r="B20" s="2">
        <v>2017</v>
      </c>
      <c r="C20" s="2">
        <v>92450</v>
      </c>
      <c r="D20" s="2" t="s">
        <v>43</v>
      </c>
      <c r="E20" s="2" t="s">
        <v>44</v>
      </c>
      <c r="F20" s="2" t="s">
        <v>45</v>
      </c>
      <c r="G20" s="7" t="s">
        <v>76</v>
      </c>
      <c r="H20" s="1" t="str">
        <f t="shared" si="0"/>
        <v>BMW</v>
      </c>
      <c r="I20" s="1" t="str">
        <f>VLOOKUP(H20,'Manufacturing Country'!A:B,2,FALSE)</f>
        <v>Germany</v>
      </c>
      <c r="J20" s="1">
        <f t="shared" si="1"/>
        <v>35240</v>
      </c>
    </row>
    <row r="21" spans="1:10">
      <c r="A21" s="2" t="s">
        <v>53</v>
      </c>
      <c r="B21" s="2">
        <v>2015</v>
      </c>
      <c r="C21" s="2">
        <v>130000</v>
      </c>
      <c r="D21" s="2" t="s">
        <v>48</v>
      </c>
      <c r="E21" s="2" t="s">
        <v>40</v>
      </c>
      <c r="F21" s="2" t="s">
        <v>77</v>
      </c>
      <c r="G21" s="7">
        <v>22520</v>
      </c>
      <c r="H21" s="1" t="str">
        <f t="shared" si="0"/>
        <v>Lexus</v>
      </c>
      <c r="I21" s="1" t="str">
        <f>VLOOKUP(H21,'Manufacturing Country'!A:B,2,FALSE)</f>
        <v>Japan</v>
      </c>
      <c r="J21" s="1">
        <f t="shared" si="1"/>
        <v>22520</v>
      </c>
    </row>
    <row r="24" spans="1:10">
      <c r="A24" s="1" t="s">
        <v>79</v>
      </c>
    </row>
    <row r="25" spans="1:10">
      <c r="A25" s="1" t="s">
        <v>80</v>
      </c>
      <c r="D25" s="1" t="str">
        <f>INDEX(H4:H21,MODE(MATCH(H4:H21,H4:H21,0)))</f>
        <v>BMW</v>
      </c>
    </row>
    <row r="26" spans="1:10">
      <c r="A26" s="1" t="s">
        <v>81</v>
      </c>
      <c r="G26" s="1" t="str">
        <f>INDEX(I3:I21,MODE(MATCH(I3:I21,I3:I21,0)))</f>
        <v>Germany</v>
      </c>
    </row>
    <row r="27" spans="1:10">
      <c r="A27" s="1" t="s">
        <v>82</v>
      </c>
      <c r="D27" s="1" t="e">
        <f>INDEX(D4:D21,MATCH(MIN(COUNTIF(D4:D21,D4:D21)),COUNTIF(D4:D21,D4:D21),0))</f>
        <v>#N/A</v>
      </c>
    </row>
    <row r="28" spans="1:10">
      <c r="A28" s="1" t="s">
        <v>98</v>
      </c>
    </row>
    <row r="30" spans="1:10" ht="28.8">
      <c r="A30" s="10" t="s">
        <v>36</v>
      </c>
      <c r="B30" s="10" t="s">
        <v>160</v>
      </c>
      <c r="C30" s="8"/>
    </row>
    <row r="31" spans="1:10" ht="14.4">
      <c r="A31" s="11" t="s">
        <v>41</v>
      </c>
      <c r="B31" s="12">
        <f>AVERAGEIF(F4:F21,"1st owner",J4:J21)</f>
        <v>36513.666666666664</v>
      </c>
      <c r="C31" s="9"/>
    </row>
    <row r="32" spans="1:10" ht="14.4">
      <c r="A32" s="11" t="s">
        <v>45</v>
      </c>
      <c r="B32" s="12">
        <f>AVERAGEIF(F4:F21,"2nd owner",J4:J21)</f>
        <v>30718</v>
      </c>
      <c r="C32" s="9"/>
    </row>
    <row r="33" spans="1:3" ht="14.4">
      <c r="A33" s="11" t="s">
        <v>49</v>
      </c>
      <c r="B33" s="12">
        <f>AVERAGEIF(F4:F21,"3rd owner",J4:J21)</f>
        <v>63746.333333333336</v>
      </c>
      <c r="C33" s="9"/>
    </row>
    <row r="34" spans="1:3" ht="14.4">
      <c r="A34" s="11" t="s">
        <v>77</v>
      </c>
      <c r="B34" s="12">
        <f>AVERAGEIF(F4:F21,"4th owner",J4:J21)</f>
        <v>22520</v>
      </c>
      <c r="C3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3239-BC1D-4D2C-AF88-223D921590B4}">
  <dimension ref="A1:B9"/>
  <sheetViews>
    <sheetView workbookViewId="0">
      <selection activeCell="F26" sqref="F26"/>
    </sheetView>
  </sheetViews>
  <sheetFormatPr defaultColWidth="9.109375" defaultRowHeight="12"/>
  <cols>
    <col min="1" max="16384" width="9.109375" style="1"/>
  </cols>
  <sheetData>
    <row r="1" spans="1:2">
      <c r="A1" s="4" t="s">
        <v>83</v>
      </c>
      <c r="B1" s="4" t="s">
        <v>84</v>
      </c>
    </row>
    <row r="2" spans="1:2">
      <c r="A2" s="2" t="s">
        <v>85</v>
      </c>
      <c r="B2" s="2" t="s">
        <v>86</v>
      </c>
    </row>
    <row r="3" spans="1:2">
      <c r="A3" s="2" t="s">
        <v>87</v>
      </c>
      <c r="B3" s="2" t="s">
        <v>86</v>
      </c>
    </row>
    <row r="4" spans="1:2">
      <c r="A4" s="2" t="s">
        <v>88</v>
      </c>
      <c r="B4" s="2" t="s">
        <v>89</v>
      </c>
    </row>
    <row r="5" spans="1:2">
      <c r="A5" s="2" t="s">
        <v>90</v>
      </c>
      <c r="B5" s="2" t="s">
        <v>91</v>
      </c>
    </row>
    <row r="6" spans="1:2">
      <c r="A6" s="2" t="s">
        <v>92</v>
      </c>
      <c r="B6" s="2" t="s">
        <v>86</v>
      </c>
    </row>
    <row r="7" spans="1:2">
      <c r="A7" s="2" t="s">
        <v>93</v>
      </c>
      <c r="B7" s="2" t="s">
        <v>94</v>
      </c>
    </row>
    <row r="8" spans="1:2">
      <c r="A8" s="2" t="s">
        <v>95</v>
      </c>
      <c r="B8" s="2" t="s">
        <v>89</v>
      </c>
    </row>
    <row r="9" spans="1:2">
      <c r="A9" s="2" t="s">
        <v>96</v>
      </c>
      <c r="B9" s="2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BDC3-433A-41E0-8DC0-0455F3295A42}">
  <dimension ref="A1:K30"/>
  <sheetViews>
    <sheetView tabSelected="1" workbookViewId="0">
      <selection activeCell="O21" sqref="O21"/>
    </sheetView>
  </sheetViews>
  <sheetFormatPr defaultColWidth="9.109375" defaultRowHeight="12"/>
  <cols>
    <col min="1" max="1" width="9.109375" style="1" customWidth="1"/>
    <col min="2" max="2" width="28.88671875" style="1" customWidth="1"/>
    <col min="3" max="3" width="17" style="1" customWidth="1"/>
    <col min="4" max="6" width="9.109375" style="1"/>
    <col min="7" max="7" width="255.6640625" style="1" bestFit="1" customWidth="1"/>
    <col min="8" max="8" width="14.109375" style="1" bestFit="1" customWidth="1"/>
    <col min="9" max="9" width="9.88671875" style="1" bestFit="1" customWidth="1"/>
    <col min="10" max="10" width="19.21875" style="1" bestFit="1" customWidth="1"/>
    <col min="11" max="11" width="10.44140625" style="1" bestFit="1" customWidth="1"/>
    <col min="12" max="16384" width="9.109375" style="1"/>
  </cols>
  <sheetData>
    <row r="1" spans="1:11">
      <c r="A1" s="1" t="s">
        <v>99</v>
      </c>
    </row>
    <row r="3" spans="1:11">
      <c r="A3" s="1" t="s">
        <v>100</v>
      </c>
    </row>
    <row r="4" spans="1:11">
      <c r="A4" s="1" t="s">
        <v>101</v>
      </c>
      <c r="D4" s="1">
        <f>COUNTIFS(F11:F30, "*Yellow Card*") + COUNTIFS(F11:F30, "*Red Card*")</f>
        <v>1</v>
      </c>
      <c r="E4" s="1" t="s">
        <v>127</v>
      </c>
    </row>
    <row r="5" spans="1:11">
      <c r="A5" s="1" t="s">
        <v>102</v>
      </c>
      <c r="E5" s="1">
        <f>COUNTIF(G11:G30, "*Substitution - On*")</f>
        <v>3</v>
      </c>
      <c r="F5" s="13" t="s">
        <v>162</v>
      </c>
    </row>
    <row r="6" spans="1:11">
      <c r="A6" s="1" t="s">
        <v>103</v>
      </c>
      <c r="E6" s="1" t="s">
        <v>163</v>
      </c>
    </row>
    <row r="7" spans="1:11">
      <c r="A7" s="1" t="s">
        <v>104</v>
      </c>
      <c r="G7" s="1" t="s">
        <v>164</v>
      </c>
    </row>
    <row r="10" spans="1:11" ht="14.4">
      <c r="A10" s="4" t="s">
        <v>161</v>
      </c>
      <c r="B10" s="4" t="s">
        <v>0</v>
      </c>
      <c r="C10" s="4" t="s">
        <v>154</v>
      </c>
      <c r="D10" s="4" t="s">
        <v>155</v>
      </c>
      <c r="E10" s="4" t="s">
        <v>84</v>
      </c>
      <c r="F10" s="4" t="s">
        <v>156</v>
      </c>
      <c r="G10" s="4" t="s">
        <v>157</v>
      </c>
      <c r="H10" s="15" t="s">
        <v>165</v>
      </c>
      <c r="I10" s="15" t="s">
        <v>166</v>
      </c>
      <c r="J10" s="15" t="s">
        <v>167</v>
      </c>
      <c r="K10" s="15" t="s">
        <v>168</v>
      </c>
    </row>
    <row r="11" spans="1:11">
      <c r="A11" s="2">
        <v>3139</v>
      </c>
      <c r="B11" s="2" t="s">
        <v>105</v>
      </c>
      <c r="C11" s="2" t="s">
        <v>106</v>
      </c>
      <c r="D11" s="2">
        <v>20</v>
      </c>
      <c r="E11" s="2" t="s">
        <v>107</v>
      </c>
      <c r="F11" s="2" t="s">
        <v>108</v>
      </c>
      <c r="G11" s="2" t="s">
        <v>108</v>
      </c>
      <c r="H11" s="2" t="str">
        <f>IF(OR(ISNUMBER(SEARCH("Yellow Card", F11)), ISNUMBER(SEARCH("Red Card", F11))), B11, "")</f>
        <v/>
      </c>
      <c r="I11" s="2" t="str">
        <f>IF(ISNUMBER(SEARCH("Substitution - On", G11)), B11, "")</f>
        <v/>
      </c>
      <c r="J11" s="2" t="str">
        <f>IF(LEN(G11)-LEN(SUBSTITUTE(G11,"{",""))&gt;1, B11, "")</f>
        <v/>
      </c>
      <c r="K11" s="2" t="str">
        <f>IF(AND(ISNUMBER(SEARCH("Starting XI", G11)), ISNUMBER(SEARCH("Final Whistle", G11)), NOT(ISNUMBER(SEARCH("Substitution - Off", G11)))), B11, "")</f>
        <v/>
      </c>
    </row>
    <row r="12" spans="1:11">
      <c r="A12" s="2">
        <v>3338</v>
      </c>
      <c r="B12" s="2" t="s">
        <v>109</v>
      </c>
      <c r="C12" s="2" t="s">
        <v>110</v>
      </c>
      <c r="D12" s="2">
        <v>4</v>
      </c>
      <c r="E12" s="2" t="s">
        <v>107</v>
      </c>
      <c r="F12" s="2" t="s">
        <v>108</v>
      </c>
      <c r="G12" s="2" t="s">
        <v>111</v>
      </c>
      <c r="H12" s="2" t="str">
        <f t="shared" ref="H12:H30" si="0">IF(OR(ISNUMBER(SEARCH("Yellow Card", F12)), ISNUMBER(SEARCH("Red Card", F12))), B12, "")</f>
        <v/>
      </c>
      <c r="I12" s="2" t="str">
        <f t="shared" ref="I12:I30" si="1">IF(ISNUMBER(SEARCH("Substitution - On", G12)), B12, "")</f>
        <v/>
      </c>
      <c r="J12" s="2" t="str">
        <f t="shared" ref="J12:J30" si="2">IF(LEN(G12)-LEN(SUBSTITUTE(G12,"{",""))&gt;1, B12, "")</f>
        <v>Onyinye Wilfred Ndidi</v>
      </c>
      <c r="K12" s="2" t="str">
        <f t="shared" ref="K12:K30" si="3">IF(AND(ISNUMBER(SEARCH("Starting XI", G12)), ISNUMBER(SEARCH("Final Whistle", G12)), NOT(ISNUMBER(SEARCH("Substitution - Off", G12)))), B12, "")</f>
        <v>Onyinye Wilfred Ndidi</v>
      </c>
    </row>
    <row r="13" spans="1:11" s="14" customFormat="1">
      <c r="A13" s="13">
        <v>3647</v>
      </c>
      <c r="B13" s="13" t="s">
        <v>112</v>
      </c>
      <c r="C13" s="13"/>
      <c r="D13" s="13">
        <v>18</v>
      </c>
      <c r="E13" s="13" t="s">
        <v>107</v>
      </c>
      <c r="F13" s="13" t="s">
        <v>108</v>
      </c>
      <c r="G13" s="13" t="s">
        <v>113</v>
      </c>
      <c r="H13" s="13" t="str">
        <f t="shared" si="0"/>
        <v/>
      </c>
      <c r="I13" s="13" t="str">
        <f t="shared" si="1"/>
        <v>Alex Iwobi</v>
      </c>
      <c r="J13" s="2" t="str">
        <f t="shared" si="2"/>
        <v>Alex Iwobi</v>
      </c>
      <c r="K13" s="2" t="str">
        <f t="shared" si="3"/>
        <v/>
      </c>
    </row>
    <row r="14" spans="1:11">
      <c r="A14" s="2">
        <v>3708</v>
      </c>
      <c r="B14" s="2" t="s">
        <v>114</v>
      </c>
      <c r="C14" s="2" t="s">
        <v>115</v>
      </c>
      <c r="D14" s="2">
        <v>14</v>
      </c>
      <c r="E14" s="2" t="s">
        <v>107</v>
      </c>
      <c r="F14" s="2" t="s">
        <v>108</v>
      </c>
      <c r="G14" s="2" t="s">
        <v>116</v>
      </c>
      <c r="H14" s="2" t="str">
        <f t="shared" si="0"/>
        <v/>
      </c>
      <c r="I14" s="2" t="str">
        <f t="shared" si="1"/>
        <v/>
      </c>
      <c r="J14" s="2" t="str">
        <f t="shared" si="2"/>
        <v/>
      </c>
      <c r="K14" s="2" t="str">
        <f t="shared" si="3"/>
        <v/>
      </c>
    </row>
    <row r="15" spans="1:11">
      <c r="A15" s="2">
        <v>3963</v>
      </c>
      <c r="B15" s="2" t="s">
        <v>117</v>
      </c>
      <c r="C15" s="2"/>
      <c r="D15" s="2">
        <v>11</v>
      </c>
      <c r="E15" s="2" t="s">
        <v>107</v>
      </c>
      <c r="F15" s="2" t="s">
        <v>108</v>
      </c>
      <c r="G15" s="2" t="s">
        <v>118</v>
      </c>
      <c r="H15" s="2" t="str">
        <f t="shared" si="0"/>
        <v/>
      </c>
      <c r="I15" s="2" t="str">
        <f t="shared" si="1"/>
        <v/>
      </c>
      <c r="J15" s="2" t="str">
        <f t="shared" si="2"/>
        <v/>
      </c>
      <c r="K15" s="2" t="str">
        <f t="shared" si="3"/>
        <v>Victor Moses</v>
      </c>
    </row>
    <row r="16" spans="1:11">
      <c r="A16" s="2">
        <v>5454</v>
      </c>
      <c r="B16" s="2" t="s">
        <v>119</v>
      </c>
      <c r="C16" s="2" t="s">
        <v>120</v>
      </c>
      <c r="D16" s="2">
        <v>23</v>
      </c>
      <c r="E16" s="2" t="s">
        <v>107</v>
      </c>
      <c r="F16" s="2" t="s">
        <v>108</v>
      </c>
      <c r="G16" s="2" t="s">
        <v>121</v>
      </c>
      <c r="H16" s="2" t="str">
        <f t="shared" si="0"/>
        <v/>
      </c>
      <c r="I16" s="2" t="str">
        <f t="shared" si="1"/>
        <v/>
      </c>
      <c r="J16" s="2" t="str">
        <f t="shared" si="2"/>
        <v/>
      </c>
      <c r="K16" s="2" t="str">
        <f t="shared" si="3"/>
        <v>Francis Odinaka Uzoho</v>
      </c>
    </row>
    <row r="17" spans="1:11">
      <c r="A17" s="2">
        <v>5455</v>
      </c>
      <c r="B17" s="2" t="s">
        <v>122</v>
      </c>
      <c r="C17" s="2"/>
      <c r="D17" s="2">
        <v>5</v>
      </c>
      <c r="E17" s="2" t="s">
        <v>107</v>
      </c>
      <c r="F17" s="2" t="s">
        <v>108</v>
      </c>
      <c r="G17" s="2" t="s">
        <v>123</v>
      </c>
      <c r="H17" s="2" t="str">
        <f t="shared" si="0"/>
        <v/>
      </c>
      <c r="I17" s="2" t="str">
        <f t="shared" si="1"/>
        <v/>
      </c>
      <c r="J17" s="2" t="str">
        <f t="shared" si="2"/>
        <v/>
      </c>
      <c r="K17" s="2" t="str">
        <f t="shared" si="3"/>
        <v>William Troost-Ekong</v>
      </c>
    </row>
    <row r="18" spans="1:11" s="14" customFormat="1">
      <c r="A18" s="13">
        <v>5458</v>
      </c>
      <c r="B18" s="13" t="s">
        <v>124</v>
      </c>
      <c r="C18" s="13" t="s">
        <v>125</v>
      </c>
      <c r="D18" s="13">
        <v>9</v>
      </c>
      <c r="E18" s="13" t="s">
        <v>107</v>
      </c>
      <c r="F18" s="13" t="s">
        <v>108</v>
      </c>
      <c r="G18" s="13" t="s">
        <v>126</v>
      </c>
      <c r="H18" s="13" t="str">
        <f t="shared" si="0"/>
        <v/>
      </c>
      <c r="I18" s="13" t="str">
        <f t="shared" si="1"/>
        <v>Odion Jude Ighalo</v>
      </c>
      <c r="J18" s="2" t="str">
        <f t="shared" si="2"/>
        <v>Odion Jude Ighalo</v>
      </c>
      <c r="K18" s="2" t="str">
        <f t="shared" si="3"/>
        <v/>
      </c>
    </row>
    <row r="19" spans="1:11">
      <c r="A19" s="2">
        <v>5462</v>
      </c>
      <c r="B19" s="2" t="s">
        <v>127</v>
      </c>
      <c r="C19" s="2" t="s">
        <v>128</v>
      </c>
      <c r="D19" s="2">
        <v>2</v>
      </c>
      <c r="E19" s="2" t="s">
        <v>107</v>
      </c>
      <c r="F19" s="2" t="s">
        <v>129</v>
      </c>
      <c r="G19" s="2" t="s">
        <v>130</v>
      </c>
      <c r="H19" s="2" t="str">
        <f>IF(OR(ISNUMBER(SEARCH("Yellow Card", F19)), ISNUMBER(SEARCH("Red Card", F19))), B19, "")</f>
        <v>Brian Oladapo Idowu</v>
      </c>
      <c r="I19" s="2" t="str">
        <f t="shared" si="1"/>
        <v/>
      </c>
      <c r="J19" s="2" t="str">
        <f t="shared" si="2"/>
        <v/>
      </c>
      <c r="K19" s="2" t="str">
        <f t="shared" si="3"/>
        <v/>
      </c>
    </row>
    <row r="20" spans="1:11">
      <c r="A20" s="2">
        <v>5464</v>
      </c>
      <c r="B20" s="2" t="s">
        <v>131</v>
      </c>
      <c r="C20" s="2" t="s">
        <v>132</v>
      </c>
      <c r="D20" s="2">
        <v>13</v>
      </c>
      <c r="E20" s="2" t="s">
        <v>107</v>
      </c>
      <c r="F20" s="2" t="s">
        <v>108</v>
      </c>
      <c r="G20" s="2" t="s">
        <v>108</v>
      </c>
      <c r="H20" s="2" t="str">
        <f t="shared" si="0"/>
        <v/>
      </c>
      <c r="I20" s="2" t="str">
        <f t="shared" si="1"/>
        <v/>
      </c>
      <c r="J20" s="2" t="str">
        <f t="shared" si="2"/>
        <v/>
      </c>
      <c r="K20" s="2" t="str">
        <f t="shared" si="3"/>
        <v/>
      </c>
    </row>
    <row r="21" spans="1:11">
      <c r="A21" s="2">
        <v>5466</v>
      </c>
      <c r="B21" s="2" t="s">
        <v>133</v>
      </c>
      <c r="C21" s="2" t="s">
        <v>134</v>
      </c>
      <c r="D21" s="2">
        <v>8</v>
      </c>
      <c r="E21" s="2" t="s">
        <v>107</v>
      </c>
      <c r="F21" s="2" t="s">
        <v>108</v>
      </c>
      <c r="G21" s="2" t="s">
        <v>135</v>
      </c>
      <c r="H21" s="2" t="str">
        <f t="shared" si="0"/>
        <v/>
      </c>
      <c r="I21" s="2" t="str">
        <f t="shared" si="1"/>
        <v/>
      </c>
      <c r="J21" s="2" t="str">
        <f t="shared" si="2"/>
        <v/>
      </c>
      <c r="K21" s="2" t="str">
        <f t="shared" si="3"/>
        <v/>
      </c>
    </row>
    <row r="22" spans="1:11">
      <c r="A22" s="2">
        <v>5467</v>
      </c>
      <c r="B22" s="2" t="s">
        <v>136</v>
      </c>
      <c r="C22" s="2"/>
      <c r="D22" s="2">
        <v>6</v>
      </c>
      <c r="E22" s="2" t="s">
        <v>107</v>
      </c>
      <c r="F22" s="2" t="s">
        <v>108</v>
      </c>
      <c r="G22" s="2" t="s">
        <v>137</v>
      </c>
      <c r="H22" s="2" t="str">
        <f t="shared" si="0"/>
        <v/>
      </c>
      <c r="I22" s="2" t="str">
        <f t="shared" si="1"/>
        <v/>
      </c>
      <c r="J22" s="2" t="str">
        <f t="shared" si="2"/>
        <v/>
      </c>
      <c r="K22" s="2" t="str">
        <f t="shared" si="3"/>
        <v>Leon Aderemi Balogun</v>
      </c>
    </row>
    <row r="23" spans="1:11">
      <c r="A23" s="2">
        <v>5471</v>
      </c>
      <c r="B23" s="2" t="s">
        <v>138</v>
      </c>
      <c r="C23" s="2"/>
      <c r="D23" s="2">
        <v>12</v>
      </c>
      <c r="E23" s="2" t="s">
        <v>107</v>
      </c>
      <c r="F23" s="2" t="s">
        <v>108</v>
      </c>
      <c r="G23" s="2" t="s">
        <v>108</v>
      </c>
      <c r="H23" s="2" t="str">
        <f t="shared" si="0"/>
        <v/>
      </c>
      <c r="I23" s="2" t="str">
        <f t="shared" si="1"/>
        <v/>
      </c>
      <c r="J23" s="2" t="str">
        <f t="shared" si="2"/>
        <v/>
      </c>
      <c r="K23" s="2" t="str">
        <f t="shared" si="3"/>
        <v/>
      </c>
    </row>
    <row r="24" spans="1:11">
      <c r="A24" s="2">
        <v>5473</v>
      </c>
      <c r="B24" s="2" t="s">
        <v>139</v>
      </c>
      <c r="C24" s="2"/>
      <c r="D24" s="2">
        <v>7</v>
      </c>
      <c r="E24" s="2" t="s">
        <v>107</v>
      </c>
      <c r="F24" s="2" t="s">
        <v>108</v>
      </c>
      <c r="G24" s="2" t="s">
        <v>140</v>
      </c>
      <c r="H24" s="2" t="str">
        <f t="shared" si="0"/>
        <v/>
      </c>
      <c r="I24" s="2" t="str">
        <f t="shared" si="1"/>
        <v/>
      </c>
      <c r="J24" s="2" t="str">
        <f t="shared" si="2"/>
        <v>Ahmed Musa</v>
      </c>
      <c r="K24" s="2" t="str">
        <f t="shared" si="3"/>
        <v>Ahmed Musa</v>
      </c>
    </row>
    <row r="25" spans="1:11">
      <c r="A25" s="2">
        <v>5475</v>
      </c>
      <c r="B25" s="2" t="s">
        <v>141</v>
      </c>
      <c r="C25" s="2" t="s">
        <v>142</v>
      </c>
      <c r="D25" s="2">
        <v>10</v>
      </c>
      <c r="E25" s="2" t="s">
        <v>107</v>
      </c>
      <c r="F25" s="2" t="s">
        <v>108</v>
      </c>
      <c r="G25" s="2" t="s">
        <v>143</v>
      </c>
      <c r="H25" s="2" t="str">
        <f t="shared" si="0"/>
        <v/>
      </c>
      <c r="I25" s="2" t="str">
        <f t="shared" si="1"/>
        <v/>
      </c>
      <c r="J25" s="2" t="str">
        <f t="shared" si="2"/>
        <v>John Michael Nchekwube Obinna</v>
      </c>
      <c r="K25" s="2" t="str">
        <f t="shared" si="3"/>
        <v>John Michael Nchekwube Obinna</v>
      </c>
    </row>
    <row r="26" spans="1:11">
      <c r="A26" s="2">
        <v>5830</v>
      </c>
      <c r="B26" s="2" t="s">
        <v>144</v>
      </c>
      <c r="C26" s="2" t="s">
        <v>145</v>
      </c>
      <c r="D26" s="2">
        <v>22</v>
      </c>
      <c r="E26" s="2" t="s">
        <v>107</v>
      </c>
      <c r="F26" s="2" t="s">
        <v>108</v>
      </c>
      <c r="G26" s="2" t="s">
        <v>146</v>
      </c>
      <c r="H26" s="2" t="str">
        <f t="shared" si="0"/>
        <v/>
      </c>
      <c r="I26" s="2" t="str">
        <f t="shared" si="1"/>
        <v/>
      </c>
      <c r="J26" s="2" t="str">
        <f t="shared" si="2"/>
        <v>Kenneth Josiah Omeruo</v>
      </c>
      <c r="K26" s="2" t="str">
        <f t="shared" si="3"/>
        <v>Kenneth Josiah Omeruo</v>
      </c>
    </row>
    <row r="27" spans="1:11" s="14" customFormat="1">
      <c r="A27" s="13">
        <v>5832</v>
      </c>
      <c r="B27" s="13" t="s">
        <v>147</v>
      </c>
      <c r="C27" s="13"/>
      <c r="D27" s="13">
        <v>21</v>
      </c>
      <c r="E27" s="13" t="s">
        <v>107</v>
      </c>
      <c r="F27" s="13" t="s">
        <v>108</v>
      </c>
      <c r="G27" s="13" t="s">
        <v>148</v>
      </c>
      <c r="H27" s="13" t="str">
        <f t="shared" si="0"/>
        <v/>
      </c>
      <c r="I27" s="13" t="str">
        <f t="shared" si="1"/>
        <v>Tyronne Ebuehi</v>
      </c>
      <c r="J27" s="2" t="str">
        <f t="shared" si="2"/>
        <v/>
      </c>
      <c r="K27" s="2" t="str">
        <f t="shared" si="3"/>
        <v/>
      </c>
    </row>
    <row r="28" spans="1:11">
      <c r="A28" s="2">
        <v>7470</v>
      </c>
      <c r="B28" s="2" t="s">
        <v>149</v>
      </c>
      <c r="C28" s="2" t="s">
        <v>150</v>
      </c>
      <c r="D28" s="2">
        <v>15</v>
      </c>
      <c r="E28" s="2" t="s">
        <v>107</v>
      </c>
      <c r="F28" s="2" t="s">
        <v>108</v>
      </c>
      <c r="G28" s="2" t="s">
        <v>108</v>
      </c>
      <c r="H28" s="2" t="str">
        <f t="shared" si="0"/>
        <v/>
      </c>
      <c r="I28" s="2" t="str">
        <f t="shared" si="1"/>
        <v/>
      </c>
      <c r="J28" s="2" t="str">
        <f t="shared" si="2"/>
        <v/>
      </c>
      <c r="K28" s="2" t="str">
        <f t="shared" si="3"/>
        <v/>
      </c>
    </row>
    <row r="29" spans="1:11">
      <c r="A29" s="2">
        <v>27558</v>
      </c>
      <c r="B29" s="2" t="s">
        <v>151</v>
      </c>
      <c r="C29" s="2"/>
      <c r="D29" s="2">
        <v>3</v>
      </c>
      <c r="E29" s="2" t="s">
        <v>107</v>
      </c>
      <c r="F29" s="2" t="s">
        <v>108</v>
      </c>
      <c r="G29" s="2" t="s">
        <v>108</v>
      </c>
      <c r="H29" s="2" t="str">
        <f t="shared" si="0"/>
        <v/>
      </c>
      <c r="I29" s="2" t="str">
        <f t="shared" si="1"/>
        <v/>
      </c>
      <c r="J29" s="2" t="str">
        <f t="shared" si="2"/>
        <v/>
      </c>
      <c r="K29" s="2" t="str">
        <f t="shared" si="3"/>
        <v/>
      </c>
    </row>
    <row r="30" spans="1:11">
      <c r="A30" s="2">
        <v>33311</v>
      </c>
      <c r="B30" s="2" t="s">
        <v>152</v>
      </c>
      <c r="C30" s="2" t="s">
        <v>153</v>
      </c>
      <c r="D30" s="2">
        <v>17</v>
      </c>
      <c r="E30" s="2" t="s">
        <v>107</v>
      </c>
      <c r="F30" s="2" t="s">
        <v>108</v>
      </c>
      <c r="G30" s="2" t="s">
        <v>108</v>
      </c>
      <c r="H30" s="2" t="str">
        <f t="shared" si="0"/>
        <v/>
      </c>
      <c r="I30" s="2" t="str">
        <f t="shared" si="1"/>
        <v/>
      </c>
      <c r="J30" s="2" t="str">
        <f t="shared" si="2"/>
        <v/>
      </c>
      <c r="K30" s="2" t="str">
        <f t="shared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Assessment 1</vt:lpstr>
      <vt:lpstr>Birthdays</vt:lpstr>
      <vt:lpstr>Assessment 2</vt:lpstr>
      <vt:lpstr>Manufacturing Country</vt:lpstr>
      <vt:lpstr>Assessment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Supun Karunannayaka</dc:creator>
  <cp:lastModifiedBy>Nisha Rajapaksha</cp:lastModifiedBy>
  <dcterms:created xsi:type="dcterms:W3CDTF">2025-10-25T10:40:18Z</dcterms:created>
  <dcterms:modified xsi:type="dcterms:W3CDTF">2025-11-06T12:51:15Z</dcterms:modified>
</cp:coreProperties>
</file>